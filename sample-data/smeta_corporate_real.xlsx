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912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anastasiapetrova/Desktop/Декор мой/2026/Июнь/Корпоративное мероприятие 9.06/"/>
    </mc:Choice>
  </mc:AlternateContent>
  <xr:revisionPtr revIDLastSave="0" documentId="8_{F5D896D0-1B83-074D-8494-3708E66CF0C8}" xr6:coauthVersionLast="47" xr6:coauthVersionMax="47" xr10:uidLastSave="{00000000-0000-0000-0000-000000000000}"/>
  <bookViews>
    <workbookView xWindow="740" yWindow="660" windowWidth="20980" windowHeight="16720" xr2:uid="{00000000-000D-0000-FFFF-FFFF00000000}"/>
  </bookViews>
  <sheets>
    <sheet name="Вариант 1" sheetId="4" r:id="rId1"/>
    <sheet name="Лист2" sheetId="2" r:id="rId2"/>
    <sheet name="Лист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21" i="4" l="1"/>
  <c r="E32" i="4"/>
  <c r="E43" i="4"/>
  <c r="E38" i="4"/>
  <c r="E39" i="4"/>
  <c r="E40" i="4"/>
  <c r="E41" i="4"/>
  <c r="E34" i="4"/>
  <c r="E9" i="4"/>
  <c r="E33" i="4"/>
  <c r="E30" i="4"/>
  <c r="E31" i="4"/>
  <c r="E29" i="4"/>
  <c r="E20" i="4"/>
  <c r="E19" i="4"/>
  <c r="E27" i="4"/>
  <c r="E26" i="4"/>
  <c r="E25" i="4"/>
  <c r="E24" i="4"/>
  <c r="E23" i="4"/>
  <c r="E15" i="4"/>
  <c r="E16" i="4"/>
  <c r="E17" i="4"/>
  <c r="E18" i="4"/>
  <c r="E14" i="4"/>
  <c r="E12" i="4"/>
  <c r="E11" i="4"/>
  <c r="E8" i="4"/>
  <c r="E36" i="4"/>
  <c r="E37" i="4"/>
  <c r="E7" i="4"/>
  <c r="E42" i="4"/>
  <c r="E44" i="4" l="1"/>
  <c r="E45" i="4" s="1"/>
  <c r="E46" i="4" s="1"/>
</calcChain>
</file>

<file path=xl/sharedStrings.xml><?xml version="1.0" encoding="utf-8"?>
<sst xmlns="http://schemas.openxmlformats.org/spreadsheetml/2006/main" count="80" uniqueCount="70">
  <si>
    <t>Дополнительные расходы</t>
  </si>
  <si>
    <t>Описание (декор в аренду)</t>
  </si>
  <si>
    <t>Количество</t>
  </si>
  <si>
    <t>Цена</t>
  </si>
  <si>
    <t>Стоимость</t>
  </si>
  <si>
    <t>Работа монтажной группы</t>
  </si>
  <si>
    <t>Итого по смете (наличный расчет):</t>
  </si>
  <si>
    <t>Наименование</t>
  </si>
  <si>
    <t xml:space="preserve">Монтаж </t>
  </si>
  <si>
    <t>Транспортные расходы</t>
  </si>
  <si>
    <t>Демонтаж</t>
  </si>
  <si>
    <t>Итого по смете (безналичный расчет):</t>
  </si>
  <si>
    <t>Расходные материалы</t>
  </si>
  <si>
    <t>Работа дизайнера</t>
  </si>
  <si>
    <t>Навигационная стойка</t>
  </si>
  <si>
    <t>Транспортные расходы в день монтажа и подготовительны дни</t>
  </si>
  <si>
    <t>Корпортивное мероприятие Positive 9.06</t>
  </si>
  <si>
    <t>Место проведения: Адонис</t>
  </si>
  <si>
    <t>Время: 8</t>
  </si>
  <si>
    <t>Флаги</t>
  </si>
  <si>
    <t>Виндер, флаг 2,5м</t>
  </si>
  <si>
    <t>Входная группа/1 этаж</t>
  </si>
  <si>
    <t>Постеры на доску</t>
  </si>
  <si>
    <t>Печать полиграфия</t>
  </si>
  <si>
    <t>Стойка ресепшн</t>
  </si>
  <si>
    <t>Стойка ресепшн (малая)</t>
  </si>
  <si>
    <t>Печать на пленке</t>
  </si>
  <si>
    <t>Гостиная</t>
  </si>
  <si>
    <t>ОТ КЛИЕНТА</t>
  </si>
  <si>
    <t>Задний фон - решетка</t>
  </si>
  <si>
    <t>Буклетница</t>
  </si>
  <si>
    <t>От КЛИЕНТА</t>
  </si>
  <si>
    <t>Фуршетные столы</t>
  </si>
  <si>
    <t>Стол 80х110</t>
  </si>
  <si>
    <t>Чехол на столик</t>
  </si>
  <si>
    <t>Текстиль</t>
  </si>
  <si>
    <t>Шезлонг</t>
  </si>
  <si>
    <t>Деревянный</t>
  </si>
  <si>
    <t>Уличный зонт</t>
  </si>
  <si>
    <t>Зонт навесной</t>
  </si>
  <si>
    <t>Неоновый куб</t>
  </si>
  <si>
    <t>Куб 50/60см</t>
  </si>
  <si>
    <t>А3/А4</t>
  </si>
  <si>
    <t>Дворик</t>
  </si>
  <si>
    <t>Стол</t>
  </si>
  <si>
    <t>Стол круглый 180 см</t>
  </si>
  <si>
    <t>Скатерть</t>
  </si>
  <si>
    <t>3 этаж</t>
  </si>
  <si>
    <t>Диваны</t>
  </si>
  <si>
    <t>Столик</t>
  </si>
  <si>
    <t>Стол 180х70</t>
  </si>
  <si>
    <t>Барный стул</t>
  </si>
  <si>
    <t>Белый стул</t>
  </si>
  <si>
    <t>Наклейки на лифт</t>
  </si>
  <si>
    <t>Полиграфия</t>
  </si>
  <si>
    <t>Каше для экрана</t>
  </si>
  <si>
    <t>Проверка макетов</t>
  </si>
  <si>
    <t>Транспортные расходы Москва/Казань/Москва</t>
  </si>
  <si>
    <t>Грузчики</t>
  </si>
  <si>
    <t>Стрейч пленка, пупырчатая пленка, скотчи</t>
  </si>
  <si>
    <t>Разгрузка/погрузка (газель с Москвы, день монтажа/демонтажа, газель в Москву)</t>
  </si>
  <si>
    <t>Аренда помещения</t>
  </si>
  <si>
    <t>Помещение для позиций заказчика</t>
  </si>
  <si>
    <t>Доставка материалов со склада заказчика</t>
  </si>
  <si>
    <t>Белый</t>
  </si>
  <si>
    <t>Журнальный столик 110 см</t>
  </si>
  <si>
    <t>Скатерти</t>
  </si>
  <si>
    <t>Фотозона</t>
  </si>
  <si>
    <t>Деревянные каркасы, баннера 250х300</t>
  </si>
  <si>
    <t>Деревянный каркас 250х300х50, баннерное полотно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</si>
</sst>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charset val="204"/>
      <scheme val="minor"/>
    </font>
    <font>
      <sz val="10"/>
      <color theme="1"/>
      <name val="Calibri"/>
      <family val="2"/>
      <charset val="204"/>
      <scheme val="minor"/>
    </font>
    <font>
      <i/>
      <sz val="11"/>
      <color theme="1"/>
      <name val="Calibri"/>
      <family val="2"/>
      <charset val="204"/>
      <scheme val="minor"/>
    </font>
    <font>
      <b/>
      <i/>
      <sz val="12"/>
      <color theme="1"/>
      <name val="Calibri"/>
      <family val="2"/>
      <charset val="204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6" fillId="0" borderId="0" applyFont="0" applyFill="0" applyBorder="0" applyAlignment="0" applyProtection="0"/>
  </cellStyleXfs>
  <cellXfs count="32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2" fontId="0" fillId="0" borderId="0" xfId="0" applyNumberFormat="1"/>
    <xf numFmtId="0" fontId="1" fillId="0" borderId="0" xfId="0" applyFont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0" xfId="0" applyFont="1"/>
    <xf numFmtId="0" fontId="4" fillId="0" borderId="0" xfId="0" applyFont="1"/>
    <xf numFmtId="2" fontId="5" fillId="0" borderId="1" xfId="0" applyNumberFormat="1" applyFont="1" applyBorder="1" applyAlignment="1">
      <alignment horizontal="center" vertical="center"/>
    </xf>
    <xf numFmtId="2" fontId="5" fillId="0" borderId="0" xfId="0" applyNumberFormat="1" applyFont="1"/>
    <xf numFmtId="9" fontId="5" fillId="0" borderId="1" xfId="1" applyFont="1" applyBorder="1" applyAlignment="1">
      <alignment horizontal="center" vertical="center"/>
    </xf>
    <xf numFmtId="2" fontId="4" fillId="0" borderId="1" xfId="0" applyNumberFormat="1" applyFont="1" applyBorder="1" applyAlignment="1">
      <alignment horizontal="center" vertical="center"/>
    </xf>
    <xf numFmtId="0" fontId="5" fillId="0" borderId="1" xfId="0" applyFont="1" applyBorder="1"/>
    <xf numFmtId="2" fontId="5" fillId="0" borderId="1" xfId="0" applyNumberFormat="1" applyFont="1" applyBorder="1"/>
    <xf numFmtId="2" fontId="1" fillId="2" borderId="1" xfId="0" applyNumberFormat="1" applyFont="1" applyFill="1" applyBorder="1" applyAlignment="1">
      <alignment horizontal="center" vertical="center"/>
    </xf>
    <xf numFmtId="0" fontId="0" fillId="2" borderId="1" xfId="0" applyFont="1" applyFill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16" fontId="4" fillId="0" borderId="1" xfId="0" applyNumberFormat="1" applyFont="1" applyBorder="1" applyAlignment="1">
      <alignment horizontal="center" vertical="center"/>
    </xf>
    <xf numFmtId="9" fontId="4" fillId="0" borderId="1" xfId="0" applyNumberFormat="1" applyFont="1" applyBorder="1" applyAlignment="1">
      <alignment horizontal="center" vertical="center"/>
    </xf>
    <xf numFmtId="0" fontId="7" fillId="0" borderId="1" xfId="0" applyFont="1" applyFill="1" applyBorder="1" applyAlignment="1">
      <alignment horizontal="center" vertical="center"/>
    </xf>
    <xf numFmtId="2" fontId="5" fillId="0" borderId="1" xfId="0" applyNumberFormat="1" applyFont="1" applyFill="1" applyBorder="1" applyAlignment="1">
      <alignment horizontal="center" vertical="center"/>
    </xf>
    <xf numFmtId="0" fontId="9" fillId="0" borderId="1" xfId="0" applyFont="1" applyFill="1" applyBorder="1" applyAlignment="1">
      <alignment horizontal="center" vertical="center"/>
    </xf>
    <xf numFmtId="2" fontId="9" fillId="0" borderId="1" xfId="0" applyNumberFormat="1" applyFont="1" applyFill="1" applyBorder="1" applyAlignment="1">
      <alignment horizontal="center" vertical="center"/>
    </xf>
    <xf numFmtId="0" fontId="8" fillId="2" borderId="4" xfId="0" applyFont="1" applyFill="1" applyBorder="1" applyAlignment="1">
      <alignment horizontal="center" vertical="center"/>
    </xf>
    <xf numFmtId="0" fontId="8" fillId="2" borderId="3" xfId="0" applyFont="1" applyFill="1" applyBorder="1" applyAlignment="1">
      <alignment horizontal="center" vertical="center"/>
    </xf>
    <xf numFmtId="0" fontId="8" fillId="2" borderId="2" xfId="0" applyFont="1" applyFill="1" applyBorder="1" applyAlignment="1">
      <alignment horizontal="center" vertical="center"/>
    </xf>
    <xf numFmtId="0" fontId="0" fillId="0" borderId="3" xfId="0" applyBorder="1"/>
    <xf numFmtId="0" fontId="0" fillId="0" borderId="2" xfId="0" applyBorder="1"/>
    <xf numFmtId="2" fontId="0" fillId="2" borderId="0" xfId="0" applyNumberFormat="1" applyFill="1"/>
    <xf numFmtId="0" fontId="3" fillId="0" borderId="3" xfId="0" applyFont="1" applyBorder="1" applyAlignment="1">
      <alignment horizontal="left" vertical="center"/>
    </xf>
    <xf numFmtId="0" fontId="3" fillId="0" borderId="2" xfId="0" applyFont="1" applyBorder="1" applyAlignment="1">
      <alignment horizontal="left" vertical="center"/>
    </xf>
    <xf numFmtId="0" fontId="2" fillId="0" borderId="1" xfId="0" applyFont="1" applyBorder="1" applyAlignment="1">
      <alignment horizontal="left"/>
    </xf>
    <xf numFmtId="0" fontId="0" fillId="0" borderId="1" xfId="0" applyBorder="1"/>
  </cellXfs>
  <cellStyles count="2">
    <cellStyle name="Обычный" xfId="0" builtinId="0"/>
    <cellStyle name="Процентный" xfId="1" builtinId="5"/>
  </cellStyles>
  <dxfs count="0"/>
  <tableStyles count="0" defaultTableStyle="TableStyleMedium9" defaultPivotStyle="PivotStyleLight16"/>
  <colors>
    <mruColors>
      <color rgb="FF69020F"/>
      <color rgb="FF7F0000"/>
      <color rgb="FFD1D1D1"/>
      <color rgb="FFD90000"/>
      <color rgb="FF750000"/>
      <color rgb="FF57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2362200</xdr:colOff>
      <xdr:row>0</xdr:row>
      <xdr:rowOff>0</xdr:rowOff>
    </xdr:from>
    <xdr:to>
      <xdr:col>1</xdr:col>
      <xdr:colOff>3656445</xdr:colOff>
      <xdr:row>0</xdr:row>
      <xdr:rowOff>1231900</xdr:rowOff>
    </xdr:to>
    <xdr:pic>
      <xdr:nvPicPr>
        <xdr:cNvPr id="2" name="Рисунок 1">
          <a:extLst>
            <a:ext uri="{FF2B5EF4-FFF2-40B4-BE49-F238E27FC236}">
              <a16:creationId xmlns:a16="http://schemas.microsoft.com/office/drawing/2014/main" id="{4360FFB5-513D-9C46-8B36-1249299014C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t="12772" b="37675"/>
        <a:stretch/>
      </xdr:blipFill>
      <xdr:spPr>
        <a:xfrm>
          <a:off x="2362200" y="0"/>
          <a:ext cx="4419600" cy="12319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955774-71CE-4841-8D37-F58F91BEF05B}">
  <sheetPr>
    <pageSetUpPr fitToPage="1"/>
  </sheetPr>
  <dimension ref="A1:F48"/>
  <sheetViews>
    <sheetView tabSelected="1" zoomScale="75" zoomScaleNormal="85" workbookViewId="0">
      <pane xSplit="4" ySplit="5" topLeftCell="E6" activePane="bottomRight" state="frozen"/>
      <selection pane="topRight" activeCell="F1" sqref="F1"/>
      <selection pane="bottomLeft" activeCell="A8" sqref="A8"/>
      <selection pane="bottomRight" activeCell="D16" sqref="D16"/>
    </sheetView>
  </sheetViews>
  <sheetFormatPr baseColWidth="10" defaultColWidth="8.83203125" defaultRowHeight="15" x14ac:dyDescent="0.2"/>
  <cols>
    <col min="1" max="1" width="41.1640625" style="6" customWidth="1"/>
    <col min="2" max="2" width="53.33203125" style="3" customWidth="1"/>
    <col min="3" max="3" width="12.83203125" style="5" customWidth="1"/>
    <col min="4" max="4" width="13.83203125" style="8" customWidth="1"/>
    <col min="5" max="5" width="11.33203125" style="2" customWidth="1"/>
    <col min="6" max="6" width="10.83203125" bestFit="1" customWidth="1"/>
  </cols>
  <sheetData>
    <row r="1" spans="1:5" ht="102" customHeight="1" x14ac:dyDescent="0.2">
      <c r="A1" s="27"/>
      <c r="B1" s="27"/>
      <c r="C1" s="27"/>
      <c r="D1" s="27"/>
      <c r="E1" s="27"/>
    </row>
    <row r="2" spans="1:5" ht="21" customHeight="1" x14ac:dyDescent="0.2">
      <c r="A2" s="28" t="s">
        <v>16</v>
      </c>
      <c r="B2" s="28"/>
      <c r="C2" s="28"/>
      <c r="D2" s="28"/>
      <c r="E2" s="29"/>
    </row>
    <row r="3" spans="1:5" ht="19.5" customHeight="1" x14ac:dyDescent="0.2">
      <c r="A3" s="30" t="s">
        <v>17</v>
      </c>
      <c r="B3" s="31"/>
      <c r="C3" s="31"/>
      <c r="D3" s="31"/>
      <c r="E3" s="31"/>
    </row>
    <row r="4" spans="1:5" ht="19.5" customHeight="1" x14ac:dyDescent="0.2">
      <c r="A4" s="25" t="s">
        <v>18</v>
      </c>
      <c r="B4" s="25"/>
      <c r="C4" s="25"/>
      <c r="D4" s="25"/>
      <c r="E4" s="26"/>
    </row>
    <row r="5" spans="1:5" ht="25" customHeight="1" x14ac:dyDescent="0.2">
      <c r="A5" s="14" t="s">
        <v>7</v>
      </c>
      <c r="B5" s="14" t="s">
        <v>1</v>
      </c>
      <c r="C5" s="14" t="s">
        <v>2</v>
      </c>
      <c r="D5" s="14" t="s">
        <v>3</v>
      </c>
      <c r="E5" s="14" t="s">
        <v>4</v>
      </c>
    </row>
    <row r="6" spans="1:5" ht="25" customHeight="1" x14ac:dyDescent="0.2">
      <c r="A6" s="22" t="s">
        <v>21</v>
      </c>
      <c r="B6" s="23"/>
      <c r="C6" s="23"/>
      <c r="D6" s="24"/>
      <c r="E6" s="13"/>
    </row>
    <row r="7" spans="1:5" ht="27" customHeight="1" x14ac:dyDescent="0.2">
      <c r="A7" s="18" t="s">
        <v>19</v>
      </c>
      <c r="B7" s="20" t="s">
        <v>20</v>
      </c>
      <c r="C7" s="20">
        <v>2</v>
      </c>
      <c r="D7" s="21">
        <v>14500</v>
      </c>
      <c r="E7" s="19">
        <f>D7*C7</f>
        <v>29000</v>
      </c>
    </row>
    <row r="8" spans="1:5" ht="27" customHeight="1" x14ac:dyDescent="0.2">
      <c r="A8" s="18" t="s">
        <v>22</v>
      </c>
      <c r="B8" s="20" t="s">
        <v>23</v>
      </c>
      <c r="C8" s="20">
        <v>6</v>
      </c>
      <c r="D8" s="21">
        <v>3450</v>
      </c>
      <c r="E8" s="19">
        <f t="shared" ref="E8:E41" si="0">D8*C8</f>
        <v>20700</v>
      </c>
    </row>
    <row r="9" spans="1:5" ht="27" customHeight="1" x14ac:dyDescent="0.2">
      <c r="A9" s="18" t="s">
        <v>53</v>
      </c>
      <c r="B9" s="20" t="s">
        <v>54</v>
      </c>
      <c r="C9" s="20">
        <v>1</v>
      </c>
      <c r="D9" s="21">
        <v>2000</v>
      </c>
      <c r="E9" s="19">
        <f t="shared" si="0"/>
        <v>2000</v>
      </c>
    </row>
    <row r="10" spans="1:5" ht="25" customHeight="1" x14ac:dyDescent="0.2">
      <c r="A10" s="22" t="s">
        <v>21</v>
      </c>
      <c r="B10" s="23"/>
      <c r="C10" s="23"/>
      <c r="D10" s="24"/>
      <c r="E10" s="13"/>
    </row>
    <row r="11" spans="1:5" ht="27" customHeight="1" x14ac:dyDescent="0.2">
      <c r="A11" s="18" t="s">
        <v>24</v>
      </c>
      <c r="B11" s="20" t="s">
        <v>26</v>
      </c>
      <c r="C11" s="20">
        <v>1</v>
      </c>
      <c r="D11" s="21">
        <v>12000</v>
      </c>
      <c r="E11" s="19">
        <f>D11*C11</f>
        <v>12000</v>
      </c>
    </row>
    <row r="12" spans="1:5" ht="27" customHeight="1" x14ac:dyDescent="0.2">
      <c r="A12" s="18" t="s">
        <v>25</v>
      </c>
      <c r="B12" s="20" t="s">
        <v>26</v>
      </c>
      <c r="C12" s="20">
        <v>1</v>
      </c>
      <c r="D12" s="21">
        <v>8500</v>
      </c>
      <c r="E12" s="19">
        <f t="shared" ref="E12" si="1">D12*C12</f>
        <v>8500</v>
      </c>
    </row>
    <row r="13" spans="1:5" ht="25" customHeight="1" x14ac:dyDescent="0.2">
      <c r="A13" s="22" t="s">
        <v>27</v>
      </c>
      <c r="B13" s="23"/>
      <c r="C13" s="23"/>
      <c r="D13" s="24"/>
      <c r="E13" s="13"/>
    </row>
    <row r="14" spans="1:5" ht="27" customHeight="1" x14ac:dyDescent="0.2">
      <c r="A14" s="18" t="s">
        <v>29</v>
      </c>
      <c r="B14" s="18" t="s">
        <v>28</v>
      </c>
      <c r="C14" s="20">
        <v>4</v>
      </c>
      <c r="D14" s="21">
        <v>0</v>
      </c>
      <c r="E14" s="19">
        <f>D14*C14</f>
        <v>0</v>
      </c>
    </row>
    <row r="15" spans="1:5" ht="27" customHeight="1" x14ac:dyDescent="0.2">
      <c r="A15" s="18" t="s">
        <v>25</v>
      </c>
      <c r="B15" s="20" t="s">
        <v>26</v>
      </c>
      <c r="C15" s="20">
        <v>1</v>
      </c>
      <c r="D15" s="21">
        <v>8500</v>
      </c>
      <c r="E15" s="19">
        <f t="shared" ref="E15:E18" si="2">D15*C15</f>
        <v>8500</v>
      </c>
    </row>
    <row r="16" spans="1:5" ht="27" customHeight="1" x14ac:dyDescent="0.2">
      <c r="A16" s="18" t="s">
        <v>30</v>
      </c>
      <c r="B16" s="18" t="s">
        <v>31</v>
      </c>
      <c r="C16" s="20">
        <v>4</v>
      </c>
      <c r="D16" s="21">
        <v>0</v>
      </c>
      <c r="E16" s="19">
        <f t="shared" si="2"/>
        <v>0</v>
      </c>
    </row>
    <row r="17" spans="1:5" ht="27" customHeight="1" x14ac:dyDescent="0.2">
      <c r="A17" s="18" t="s">
        <v>32</v>
      </c>
      <c r="B17" s="20" t="s">
        <v>33</v>
      </c>
      <c r="C17" s="20">
        <v>10</v>
      </c>
      <c r="D17" s="21">
        <v>1200</v>
      </c>
      <c r="E17" s="19">
        <f t="shared" si="2"/>
        <v>12000</v>
      </c>
    </row>
    <row r="18" spans="1:5" ht="27" customHeight="1" x14ac:dyDescent="0.2">
      <c r="A18" s="18" t="s">
        <v>34</v>
      </c>
      <c r="B18" s="20" t="s">
        <v>35</v>
      </c>
      <c r="C18" s="20">
        <v>10</v>
      </c>
      <c r="D18" s="21">
        <v>700</v>
      </c>
      <c r="E18" s="19">
        <f t="shared" si="2"/>
        <v>7000</v>
      </c>
    </row>
    <row r="19" spans="1:5" ht="27" customHeight="1" x14ac:dyDescent="0.2">
      <c r="A19" s="18" t="s">
        <v>44</v>
      </c>
      <c r="B19" s="20" t="s">
        <v>45</v>
      </c>
      <c r="C19" s="20">
        <v>10</v>
      </c>
      <c r="D19" s="21">
        <v>2000</v>
      </c>
      <c r="E19" s="19">
        <f t="shared" ref="E19:E21" si="3">D19*C19</f>
        <v>20000</v>
      </c>
    </row>
    <row r="20" spans="1:5" ht="27" customHeight="1" x14ac:dyDescent="0.2">
      <c r="A20" s="18" t="s">
        <v>46</v>
      </c>
      <c r="B20" s="20" t="s">
        <v>35</v>
      </c>
      <c r="C20" s="20">
        <v>10</v>
      </c>
      <c r="D20" s="21">
        <v>3500</v>
      </c>
      <c r="E20" s="19">
        <f t="shared" si="3"/>
        <v>35000</v>
      </c>
    </row>
    <row r="21" spans="1:5" ht="27" customHeight="1" x14ac:dyDescent="0.2">
      <c r="A21" s="18" t="s">
        <v>67</v>
      </c>
      <c r="B21" s="20" t="s">
        <v>69</v>
      </c>
      <c r="C21" s="20">
        <v>1</v>
      </c>
      <c r="D21" s="21">
        <v>55000</v>
      </c>
      <c r="E21" s="19">
        <f t="shared" si="3"/>
        <v>55000</v>
      </c>
    </row>
    <row r="22" spans="1:5" ht="25" customHeight="1" x14ac:dyDescent="0.2">
      <c r="A22" s="22" t="s">
        <v>43</v>
      </c>
      <c r="B22" s="23"/>
      <c r="C22" s="23"/>
      <c r="D22" s="24"/>
      <c r="E22" s="13"/>
    </row>
    <row r="23" spans="1:5" ht="27" customHeight="1" x14ac:dyDescent="0.2">
      <c r="A23" s="18" t="s">
        <v>19</v>
      </c>
      <c r="B23" s="20" t="s">
        <v>20</v>
      </c>
      <c r="C23" s="20">
        <v>5</v>
      </c>
      <c r="D23" s="21">
        <v>14500</v>
      </c>
      <c r="E23" s="19">
        <f>D23*C23</f>
        <v>72500</v>
      </c>
    </row>
    <row r="24" spans="1:5" ht="27" customHeight="1" x14ac:dyDescent="0.2">
      <c r="A24" s="18" t="s">
        <v>36</v>
      </c>
      <c r="B24" s="20" t="s">
        <v>37</v>
      </c>
      <c r="C24" s="20">
        <v>13</v>
      </c>
      <c r="D24" s="21">
        <v>1900</v>
      </c>
      <c r="E24" s="19">
        <f>D24*C24</f>
        <v>24700</v>
      </c>
    </row>
    <row r="25" spans="1:5" ht="27" customHeight="1" x14ac:dyDescent="0.2">
      <c r="A25" s="18" t="s">
        <v>39</v>
      </c>
      <c r="B25" s="20" t="s">
        <v>38</v>
      </c>
      <c r="C25" s="20">
        <v>4</v>
      </c>
      <c r="D25" s="21">
        <v>5500</v>
      </c>
      <c r="E25" s="19">
        <f>D25*C25</f>
        <v>22000</v>
      </c>
    </row>
    <row r="26" spans="1:5" ht="27" customHeight="1" x14ac:dyDescent="0.2">
      <c r="A26" s="18" t="s">
        <v>40</v>
      </c>
      <c r="B26" s="20" t="s">
        <v>41</v>
      </c>
      <c r="C26" s="20">
        <v>10</v>
      </c>
      <c r="D26" s="21">
        <v>2200</v>
      </c>
      <c r="E26" s="19">
        <f>D26*C26</f>
        <v>22000</v>
      </c>
    </row>
    <row r="27" spans="1:5" ht="27" customHeight="1" x14ac:dyDescent="0.2">
      <c r="A27" s="18" t="s">
        <v>14</v>
      </c>
      <c r="B27" s="20" t="s">
        <v>42</v>
      </c>
      <c r="C27" s="20">
        <v>6</v>
      </c>
      <c r="D27" s="21">
        <v>2100</v>
      </c>
      <c r="E27" s="19">
        <f>D27*C27</f>
        <v>12600</v>
      </c>
    </row>
    <row r="28" spans="1:5" ht="25" customHeight="1" x14ac:dyDescent="0.2">
      <c r="A28" s="22" t="s">
        <v>47</v>
      </c>
      <c r="B28" s="23"/>
      <c r="C28" s="23"/>
      <c r="D28" s="24"/>
      <c r="E28" s="13"/>
    </row>
    <row r="29" spans="1:5" ht="27" customHeight="1" x14ac:dyDescent="0.2">
      <c r="A29" s="18" t="s">
        <v>48</v>
      </c>
      <c r="B29" s="20" t="s">
        <v>64</v>
      </c>
      <c r="C29" s="20">
        <v>4</v>
      </c>
      <c r="D29" s="21">
        <v>5000</v>
      </c>
      <c r="E29" s="19">
        <f>D29*C29</f>
        <v>20000</v>
      </c>
    </row>
    <row r="30" spans="1:5" ht="27" customHeight="1" x14ac:dyDescent="0.2">
      <c r="A30" s="18" t="s">
        <v>49</v>
      </c>
      <c r="B30" s="20" t="s">
        <v>65</v>
      </c>
      <c r="C30" s="20">
        <v>4</v>
      </c>
      <c r="D30" s="21">
        <v>4500</v>
      </c>
      <c r="E30" s="19">
        <f t="shared" ref="E30:E34" si="4">D30*C30</f>
        <v>18000</v>
      </c>
    </row>
    <row r="31" spans="1:5" ht="27" customHeight="1" x14ac:dyDescent="0.2">
      <c r="A31" s="18" t="s">
        <v>44</v>
      </c>
      <c r="B31" s="20" t="s">
        <v>50</v>
      </c>
      <c r="C31" s="20">
        <v>7</v>
      </c>
      <c r="D31" s="21">
        <v>1200</v>
      </c>
      <c r="E31" s="19">
        <f t="shared" si="4"/>
        <v>8400</v>
      </c>
    </row>
    <row r="32" spans="1:5" ht="27" customHeight="1" x14ac:dyDescent="0.2">
      <c r="A32" s="18" t="s">
        <v>66</v>
      </c>
      <c r="B32" s="20" t="s">
        <v>35</v>
      </c>
      <c r="C32" s="20">
        <v>7</v>
      </c>
      <c r="D32" s="21">
        <v>2500</v>
      </c>
      <c r="E32" s="19">
        <f t="shared" si="4"/>
        <v>17500</v>
      </c>
    </row>
    <row r="33" spans="1:6" ht="27" customHeight="1" x14ac:dyDescent="0.2">
      <c r="A33" s="18" t="s">
        <v>51</v>
      </c>
      <c r="B33" s="20" t="s">
        <v>52</v>
      </c>
      <c r="C33" s="20">
        <v>3</v>
      </c>
      <c r="D33" s="21">
        <v>1200</v>
      </c>
      <c r="E33" s="19">
        <f t="shared" si="4"/>
        <v>3600</v>
      </c>
    </row>
    <row r="34" spans="1:6" ht="27" customHeight="1" x14ac:dyDescent="0.2">
      <c r="A34" s="18" t="s">
        <v>55</v>
      </c>
      <c r="B34" s="20" t="s">
        <v>68</v>
      </c>
      <c r="C34" s="20">
        <v>1</v>
      </c>
      <c r="D34" s="21">
        <v>95000</v>
      </c>
      <c r="E34" s="19">
        <f t="shared" si="4"/>
        <v>95000</v>
      </c>
    </row>
    <row r="35" spans="1:6" ht="25" customHeight="1" x14ac:dyDescent="0.2">
      <c r="A35" s="22" t="s">
        <v>0</v>
      </c>
      <c r="B35" s="23"/>
      <c r="C35" s="23"/>
      <c r="D35" s="24"/>
      <c r="E35" s="13"/>
    </row>
    <row r="36" spans="1:6" ht="25" customHeight="1" x14ac:dyDescent="0.2">
      <c r="A36" s="18" t="s">
        <v>13</v>
      </c>
      <c r="B36" s="20" t="s">
        <v>56</v>
      </c>
      <c r="C36" s="20">
        <v>1</v>
      </c>
      <c r="D36" s="21">
        <v>5000</v>
      </c>
      <c r="E36" s="19">
        <f t="shared" si="0"/>
        <v>5000</v>
      </c>
    </row>
    <row r="37" spans="1:6" ht="27" customHeight="1" x14ac:dyDescent="0.2">
      <c r="A37" s="15" t="s">
        <v>9</v>
      </c>
      <c r="B37" s="1" t="s">
        <v>15</v>
      </c>
      <c r="C37" s="4">
        <v>2</v>
      </c>
      <c r="D37" s="7">
        <v>10000</v>
      </c>
      <c r="E37" s="19">
        <f t="shared" si="0"/>
        <v>20000</v>
      </c>
      <c r="F37" s="2"/>
    </row>
    <row r="38" spans="1:6" ht="27" customHeight="1" x14ac:dyDescent="0.2">
      <c r="A38" s="15" t="s">
        <v>57</v>
      </c>
      <c r="B38" s="1" t="s">
        <v>63</v>
      </c>
      <c r="C38" s="4">
        <v>2</v>
      </c>
      <c r="D38" s="7">
        <v>70000</v>
      </c>
      <c r="E38" s="19">
        <f t="shared" si="0"/>
        <v>140000</v>
      </c>
      <c r="F38" s="2"/>
    </row>
    <row r="39" spans="1:6" ht="31" customHeight="1" x14ac:dyDescent="0.2">
      <c r="A39" s="15" t="s">
        <v>58</v>
      </c>
      <c r="B39" s="1" t="s">
        <v>60</v>
      </c>
      <c r="C39" s="4">
        <v>12</v>
      </c>
      <c r="D39" s="7">
        <v>2500</v>
      </c>
      <c r="E39" s="19">
        <f t="shared" si="0"/>
        <v>30000</v>
      </c>
      <c r="F39" s="2"/>
    </row>
    <row r="40" spans="1:6" ht="27" customHeight="1" x14ac:dyDescent="0.2">
      <c r="A40" s="15" t="s">
        <v>8</v>
      </c>
      <c r="B40" s="1" t="s">
        <v>5</v>
      </c>
      <c r="C40" s="4">
        <v>8</v>
      </c>
      <c r="D40" s="7">
        <v>9500</v>
      </c>
      <c r="E40" s="19">
        <f t="shared" si="0"/>
        <v>76000</v>
      </c>
      <c r="F40" s="2"/>
    </row>
    <row r="41" spans="1:6" ht="28" customHeight="1" x14ac:dyDescent="0.2">
      <c r="A41" s="15" t="s">
        <v>10</v>
      </c>
      <c r="B41" s="1" t="s">
        <v>5</v>
      </c>
      <c r="C41" s="4">
        <v>6</v>
      </c>
      <c r="D41" s="7">
        <v>6500</v>
      </c>
      <c r="E41" s="19">
        <f t="shared" si="0"/>
        <v>39000</v>
      </c>
      <c r="F41" s="2"/>
    </row>
    <row r="42" spans="1:6" ht="31" customHeight="1" x14ac:dyDescent="0.2">
      <c r="A42" s="15" t="s">
        <v>12</v>
      </c>
      <c r="B42" s="1" t="s">
        <v>59</v>
      </c>
      <c r="C42" s="4">
        <v>1</v>
      </c>
      <c r="D42" s="7">
        <v>20000</v>
      </c>
      <c r="E42" s="7">
        <f t="shared" ref="E42:E43" si="5">D42*C42</f>
        <v>20000</v>
      </c>
      <c r="F42" s="2"/>
    </row>
    <row r="43" spans="1:6" ht="31" customHeight="1" x14ac:dyDescent="0.2">
      <c r="A43" s="15" t="s">
        <v>61</v>
      </c>
      <c r="B43" s="1" t="s">
        <v>62</v>
      </c>
      <c r="C43" s="4">
        <v>1</v>
      </c>
      <c r="D43" s="7">
        <v>7000</v>
      </c>
      <c r="E43" s="7">
        <f t="shared" si="5"/>
        <v>7000</v>
      </c>
      <c r="F43" s="2"/>
    </row>
    <row r="44" spans="1:6" ht="27" customHeight="1" x14ac:dyDescent="0.2">
      <c r="A44" s="15" t="s">
        <v>6</v>
      </c>
      <c r="B44" s="1"/>
      <c r="C44" s="4"/>
      <c r="D44" s="10"/>
      <c r="E44" s="10">
        <f>SUM(E7:E43)</f>
        <v>863000</v>
      </c>
      <c r="F44" s="2"/>
    </row>
    <row r="45" spans="1:6" ht="25" customHeight="1" x14ac:dyDescent="0.2">
      <c r="A45" s="15"/>
      <c r="B45" s="17">
        <v>0.1</v>
      </c>
      <c r="C45" s="11"/>
      <c r="D45" s="9"/>
      <c r="E45" s="10">
        <f>E44*0.1</f>
        <v>86300</v>
      </c>
    </row>
    <row r="46" spans="1:6" ht="28" customHeight="1" x14ac:dyDescent="0.2">
      <c r="A46" s="15" t="s">
        <v>11</v>
      </c>
      <c r="B46" s="16"/>
      <c r="C46" s="11"/>
      <c r="D46" s="12"/>
      <c r="E46" s="10">
        <f>E44+E45</f>
        <v>949300</v>
      </c>
    </row>
    <row r="47" spans="1:6" ht="26" customHeight="1" x14ac:dyDescent="0.2"/>
    <row r="48" spans="1:6" ht="25" customHeight="1" x14ac:dyDescent="0.2"/>
  </sheetData>
  <mergeCells count="10">
    <mergeCell ref="A35:D35"/>
    <mergeCell ref="A4:E4"/>
    <mergeCell ref="A1:E1"/>
    <mergeCell ref="A2:E2"/>
    <mergeCell ref="A3:E3"/>
    <mergeCell ref="A6:D6"/>
    <mergeCell ref="A10:D10"/>
    <mergeCell ref="A13:D13"/>
    <mergeCell ref="A22:D22"/>
    <mergeCell ref="A28:D28"/>
  </mergeCells>
  <pageMargins left="0.7" right="0.7" top="0.75" bottom="0.75" header="0.3" footer="0.3"/>
  <pageSetup paperSize="9" scale="63" orientation="portrait" horizontalDpi="4294967293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baseColWidth="10" defaultColWidth="8.83203125" defaultRowHeight="15" x14ac:dyDescent="0.2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baseColWidth="10" defaultColWidth="8.83203125" defaultRowHeight="15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Вариант 1</vt:lpstr>
      <vt:lpstr>Лист2</vt:lpstr>
      <vt:lpstr>Лист3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Настюша</dc:creator>
  <cp:lastModifiedBy>Microsoft Office User</cp:lastModifiedBy>
  <dcterms:created xsi:type="dcterms:W3CDTF">2019-06-27T09:17:22Z</dcterms:created>
  <dcterms:modified xsi:type="dcterms:W3CDTF">2026-05-18T11:11:30Z</dcterms:modified>
</cp:coreProperties>
</file>